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4b980652e05518d9/Documents/PowerQuery Practice/"/>
    </mc:Choice>
  </mc:AlternateContent>
  <xr:revisionPtr revIDLastSave="154" documentId="8_{F71A94B6-03B8-443C-831D-A4BFC6A43ABA}" xr6:coauthVersionLast="47" xr6:coauthVersionMax="47" xr10:uidLastSave="{AC1E2EDC-70A8-4E60-A3E1-0A3D4CE23795}"/>
  <bookViews>
    <workbookView xWindow="-108" yWindow="-108" windowWidth="23256" windowHeight="12456" xr2:uid="{31F8CCA8-5D23-4B80-85CB-AA7BD842C3D4}"/>
  </bookViews>
  <sheets>
    <sheet name="Report" sheetId="1" r:id="rId1"/>
    <sheet name="Testing Sheet" sheetId="2" r:id="rId2"/>
    <sheet name="Macro Example"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 l="1"/>
  <c r="E1" i="1" a="1"/>
  <c r="E1" i="1" s="1"/>
  <c r="B6" i="1" s="1"/>
  <c r="E5" i="1"/>
  <c r="E6" i="1"/>
  <c r="E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tc={C8D891FF-48A3-4CF2-B2F8-ED6D5A2EB60E}</author>
    <author>tc={62C02A01-51B0-427C-877A-4E6AC135C8D1}</author>
    <author>tc={DF3B28C7-0FE5-41C2-9905-AD5E2254506A}</author>
    <author>tc={20ABEF26-2EA6-42EF-A3FE-C884F3F16BCF}</author>
    <author>tc={844B3296-4D22-44CD-B55C-66041C726E0B}</author>
    <author>tc={77AC777B-94EF-41AB-A2E0-6A3029D5A415}</author>
    <author>tc={D907A6FD-BED9-4B93-B66C-EE2C224E1C02}</author>
  </authors>
  <commentList>
    <comment ref="D1" authorId="0" shapeId="0" xr:uid="{C8D891FF-48A3-4CF2-B2F8-ED6D5A2EB60E}">
      <text>
        <t>[Threaded comment]
Your version of Excel allows you to read this threaded comment; however, any edits to it will get removed if the file is opened in a newer version of Excel. Learn more: https://go.microsoft.com/fwlink/?linkid=870924
Comment:
    Target Completion Date is automatically generated using the refined “Anticipated Effort” from the weekly team meetings. This is a visual measurement for the below field to see if our work is spending more time in this area than it was expected to.</t>
      </text>
    </comment>
    <comment ref="D2" authorId="1" shapeId="0" xr:uid="{62C02A01-51B0-427C-877A-4E6AC135C8D1}">
      <text>
        <t>[Threaded comment]
Your version of Excel allows you to read this threaded comment; however, any edits to it will get removed if the file is opened in a newer version of Excel. Learn more: https://go.microsoft.com/fwlink/?linkid=870924
Comment:
    The Actual Completion date is calculated using the End Date minus the Start Date. The field turns red in color when the Actual completion date exceeds the Target completion date.</t>
      </text>
    </comment>
    <comment ref="A4" authorId="2" shapeId="0" xr:uid="{DF3B28C7-0FE5-41C2-9905-AD5E2254506A}">
      <text>
        <t>[Threaded comment]
Your version of Excel allows you to read this threaded comment; however, any edits to it will get removed if the file is opened in a newer version of Excel. Learn more: https://go.microsoft.com/fwlink/?linkid=870924
Comment:
    Start Date and End Date are generated via VBA script when you double click the cell, it is able to be modified if necessary but serves as a timestamp measurement for reporting purposes.</t>
      </text>
    </comment>
    <comment ref="D5" authorId="3" shapeId="0" xr:uid="{20ABEF26-2EA6-42EF-A3FE-C884F3F16BCF}">
      <text>
        <t>[Threaded comment]
Your version of Excel allows you to read this threaded comment; however, any edits to it will get removed if the file is opened in a newer version of Excel. Learn more: https://go.microsoft.com/fwlink/?linkid=870924
Comment:
    Passed and Failed are both calculated by using the Testing Sheet Values in the PASS/FAIL column to calculate the percentage of how many tested claim lines were correct versus how many total (excluding “REVISIT” Lines)</t>
      </text>
    </comment>
    <comment ref="A6" authorId="4" shapeId="0" xr:uid="{844B3296-4D22-44CD-B55C-66041C726E0B}">
      <text>
        <t>[Threaded comment]
Your version of Excel allows you to read this threaded comment; however, any edits to it will get removed if the file is opened in a newer version of Excel. Learn more: https://go.microsoft.com/fwlink/?linkid=870924
Comment:
    This field will populate when both the Target Completion Date and the Start Date Fields are populated. This gives a date when we should be moving this ticket out of this lane.</t>
      </text>
    </comment>
    <comment ref="A7" authorId="5" shapeId="0" xr:uid="{77AC777B-94EF-41AB-A2E0-6A3029D5A415}">
      <text>
        <t>[Threaded comment]
Your version of Excel allows you to read this threaded comment; however, any edits to it will get removed if the file is opened in a newer version of Excel. Learn more: https://go.microsoft.com/fwlink/?linkid=870924
Comment:
    This is a general effort level measurement that most teams refine every week to own progress and meet deadlines.</t>
      </text>
    </comment>
    <comment ref="D7" authorId="6" shapeId="0" xr:uid="{D907A6FD-BED9-4B93-B66C-EE2C224E1C02}">
      <text>
        <t>[Threaded comment]
Your version of Excel allows you to read this threaded comment; however, any edits to it will get removed if the file is opened in a newer version of Excel. Learn more: https://go.microsoft.com/fwlink/?linkid=870924
Comment:
    Calculated by how many rows are in the PASS/FAIL column that are not empty (Includes REVISIT claims)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tc={F9962C26-A435-4377-97F3-260EABF5AA1D}</author>
    <author>tc={5FB63B60-B0C2-49C0-AB58-D3AB42538D23}</author>
  </authors>
  <commentList>
    <comment ref="E1" authorId="0" shapeId="0" xr:uid="{F9962C26-A435-4377-97F3-260EABF5AA1D}">
      <text>
        <t>[Threaded comment]
Your version of Excel allows you to read this threaded comment; however, any edits to it will get removed if the file is opened in a newer version of Excel. Learn more: https://go.microsoft.com/fwlink/?linkid=870924
Comment:
    PASS/FAIL Column is the basis of the conditional formatting set for the Green/Red/Yellow Lines. This is helpful when there are many different people on a team and it is difficult to pinpoint where there are errors since everyone has their own color coding. Standardized color formats accelerate supervisory assistance, reduce redundant formatting processes, and streamline quality testing. Data Validation options are standardized so that no extra values can break formatting.</t>
      </text>
    </comment>
    <comment ref="F1" authorId="1" shapeId="0" xr:uid="{5FB63B60-B0C2-49C0-AB58-D3AB42538D23}">
      <text>
        <t xml:space="preserve">[Threaded comment]
Your version of Excel allows you to read this threaded comment; however, any edits to it will get removed if the file is opened in a newer version of Excel. Learn more: https://go.microsoft.com/fwlink/?linkid=870924
Comment:
    Conditional formatting for Both Note Columns ensure that any notes taken are called out and focus goes towards the bright yellow lines. </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<sst xmlns="http://schemas.openxmlformats.org/spreadsheetml/2006/main" count="48" uniqueCount="43">
  <si>
    <t>Scenario</t>
  </si>
  <si>
    <t>Expected Outcome</t>
  </si>
  <si>
    <t>Actual Outcome</t>
  </si>
  <si>
    <t>PASS/FAIL</t>
  </si>
  <si>
    <t>Configuration Notes</t>
  </si>
  <si>
    <t>Testing Notes</t>
  </si>
  <si>
    <t>Claim ID</t>
  </si>
  <si>
    <t>Member ID</t>
  </si>
  <si>
    <t>Provider ID</t>
  </si>
  <si>
    <t>Allowed Amount</t>
  </si>
  <si>
    <t>Paid Amount</t>
  </si>
  <si>
    <t>Net Amount</t>
  </si>
  <si>
    <t>Not Covered Amount</t>
  </si>
  <si>
    <t>Billed Amount</t>
  </si>
  <si>
    <t>Member Responsibility</t>
  </si>
  <si>
    <t>Provider Overbills Procedure</t>
  </si>
  <si>
    <t>Count</t>
  </si>
  <si>
    <t>Allowed Amount = $300</t>
  </si>
  <si>
    <t>PASS</t>
  </si>
  <si>
    <t>FAIL</t>
  </si>
  <si>
    <t>REVISIT</t>
  </si>
  <si>
    <t xml:space="preserve"> </t>
  </si>
  <si>
    <t>Allowed Amount = $320</t>
  </si>
  <si>
    <t>Paid Amount = $240</t>
  </si>
  <si>
    <t>Allowed amount issue</t>
  </si>
  <si>
    <t>Can we double check the Member responsibility Configured?</t>
  </si>
  <si>
    <t>Double checked Member Responsibility, Updated Configuration</t>
  </si>
  <si>
    <t>Priority Status</t>
  </si>
  <si>
    <t>Testing Analyst</t>
  </si>
  <si>
    <t>Configuration Analyst</t>
  </si>
  <si>
    <t>Start Date</t>
  </si>
  <si>
    <t>End Date</t>
  </si>
  <si>
    <t>Target End Date</t>
  </si>
  <si>
    <t xml:space="preserve">Passed </t>
  </si>
  <si>
    <t>Failed</t>
  </si>
  <si>
    <t>Total Test Claims</t>
  </si>
  <si>
    <t>Target Completion Dt</t>
  </si>
  <si>
    <t>Actual Completion Dt</t>
  </si>
  <si>
    <t>High</t>
  </si>
  <si>
    <t>Anticipated Effort</t>
  </si>
  <si>
    <t>Grace Clinard</t>
  </si>
  <si>
    <t>Johnny Appleseed</t>
  </si>
  <si>
    <t>Note: This Button is attached to a macro that will display an email format that I created to email to myself as an example, if you do not want the Macro to run, do not click the button. A preview of the email is located on the third Tab of this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</si>
</sst>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6" formatCode="&quot;$&quot;#,##0.00"/>
    <numFmt numFmtId="169" formatCode="mm/dd/yyyy\ hh:mm\ AM/PM"/>
  </numFmts>
  <fonts count="7" x14ac:knownFonts="1">
    <font>
      <sz val="11"/>
      <color theme="1"/>
      <name val="Aptos Narrow"/>
      <family val="2"/>
      <scheme val="minor"/>
    </font>
    <font>
      <sz val="11"/>
      <color theme="1"/>
      <name val="Aptos Narrow"/>
      <family val="2"/>
      <scheme val="minor"/>
    </font>
    <font>
      <b/>
      <sz val="11"/>
      <color theme="1"/>
      <name val="Aptos Narrow"/>
      <family val="2"/>
      <scheme val="minor"/>
    </font>
    <font>
      <b/>
      <sz val="14"/>
      <color theme="1"/>
      <name val="Aptos Narrow"/>
      <family val="2"/>
      <scheme val="minor"/>
    </font>
    <font>
      <sz val="8"/>
      <name val="Aptos Narrow"/>
      <family val="2"/>
      <scheme val="minor"/>
    </font>
    <font>
      <sz val="9"/>
      <color indexed="81"/>
      <name val="Tahoma"/>
      <family val="2"/>
    </font>
    <font>
      <sz val="9"/>
      <color indexed="81"/>
      <name val="Tahoma"/>
      <charset val="1"/>
    </font>
  </fonts>
  <fills count="9">
    <fill>
      <patternFill patternType="none"/>
    </fill>
    <fill>
      <patternFill patternType="gray125"/>
    </fill>
    <fill>
      <patternFill patternType="solid">
        <fgColor theme="7" tint="0.79998168889431442"/>
        <bgColor indexed="64"/>
      </patternFill>
    </fill>
    <fill>
      <patternFill patternType="solid">
        <fgColor theme="3" tint="0.49998474074526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99"/>
        <bgColor indexed="64"/>
      </patternFill>
    </fill>
    <fill>
      <patternFill patternType="solid">
        <fgColor rgb="FFFFFF00"/>
        <bgColor indexed="64"/>
      </patternFill>
    </fill>
    <fill>
      <patternFill patternType="solid">
        <fgColor theme="3" tint="0.74999237037263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3" fillId="2" borderId="0" xfId="0" applyFont="1" applyFill="1"/>
    <xf numFmtId="0" fontId="3" fillId="3" borderId="0" xfId="0" applyFont="1" applyFill="1"/>
    <xf numFmtId="166" fontId="0" fillId="0" borderId="0" xfId="0" applyNumberFormat="1"/>
    <xf numFmtId="0" fontId="0" fillId="0" borderId="0" xfId="0" applyFont="1"/>
    <xf numFmtId="0" fontId="0" fillId="7" borderId="0" xfId="0" applyFill="1"/>
    <xf numFmtId="0" fontId="2" fillId="8" borderId="1" xfId="0" applyFont="1" applyFill="1" applyBorder="1"/>
    <xf numFmtId="0" fontId="2" fillId="6" borderId="1" xfId="0" applyFont="1" applyFill="1" applyBorder="1" applyAlignment="1">
      <alignment horizontal="center"/>
    </xf>
    <xf numFmtId="169" fontId="2" fillId="6" borderId="1" xfId="0" applyNumberFormat="1" applyFont="1" applyFill="1" applyBorder="1"/>
    <xf numFmtId="9" fontId="2" fillId="4" borderId="1" xfId="1" applyFont="1" applyFill="1" applyBorder="1" applyAlignment="1">
      <alignment horizontal="center"/>
    </xf>
    <xf numFmtId="9" fontId="2" fillId="5" borderId="1" xfId="1" applyFont="1" applyFill="1" applyBorder="1" applyAlignment="1">
      <alignment horizontal="center"/>
    </xf>
    <xf numFmtId="0" fontId="0" fillId="0" borderId="0" xfId="0" applyFill="1"/>
  </cellXfs>
  <cellStyles count="2">
    <cellStyle name="Normal" xfId="0" builtinId="0"/>
    <cellStyle name="Percent" xfId="1" builtinId="5"/>
  </cellStyles>
  <dxfs count="10">
    <dxf>
      <fill>
        <patternFill>
          <bgColor rgb="FFFFFF00"/>
        </patternFill>
      </fill>
    </dxf>
    <dxf>
      <fill>
        <patternFill>
          <bgColor rgb="FFFFFF00"/>
        </patternFill>
      </fill>
    </dxf>
    <dxf>
      <fill>
        <patternFill>
          <bgColor theme="9" tint="0.79998168889431442"/>
        </patternFill>
      </fill>
    </dxf>
    <dxf>
      <fill>
        <patternFill>
          <bgColor rgb="FFFFFF99"/>
        </patternFill>
      </fill>
    </dxf>
    <dxf>
      <fill>
        <patternFill>
          <bgColor theme="5" tint="0.79998168889431442"/>
        </patternFill>
      </fill>
    </dxf>
    <dxf>
      <fill>
        <patternFill>
          <bgColor rgb="FFFF0000"/>
        </patternFill>
      </fill>
    </dxf>
    <dxf>
      <fill>
        <patternFill>
          <bgColor rgb="FFFFC000"/>
        </patternFill>
      </fill>
    </dxf>
    <dxf>
      <fill>
        <patternFill>
          <bgColor theme="3" tint="0.749961851863155"/>
        </patternFill>
      </fill>
    </dxf>
    <dxf>
      <fill>
        <patternFill patternType="solid">
          <bgColor rgb="FFFF0000"/>
        </patternFill>
      </fill>
    </dxf>
    <dxf>
      <font>
        <b/>
        <i val="0"/>
        <strike val="0"/>
        <condense val="0"/>
        <extend val="0"/>
        <outline val="0"/>
        <shadow val="0"/>
        <u val="none"/>
        <vertAlign val="baseline"/>
        <sz val="14"/>
        <color theme="1"/>
        <name val="Aptos Narrow"/>
        <family val="2"/>
        <scheme val="minor"/>
      </font>
      <fill>
        <patternFill patternType="solid">
          <fgColor indexed="64"/>
          <bgColor theme="7" tint="0.79998168889431442"/>
        </patternFill>
      </fill>
    </dxf>
  </dxfs>
  <tableStyles count="0" defaultTableStyle="TableStyleMedium2" defaultPivotStyle="PivotStyleLight16"/>
  <colors>
    <mruColors>
      <color rgb="FFFFFF99"/>
      <color rgb="FFEBF79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548640</xdr:colOff>
          <xdr:row>9</xdr:row>
          <xdr:rowOff>91440</xdr:rowOff>
        </xdr:from>
        <xdr:to>
          <xdr:col>3</xdr:col>
          <xdr:colOff>426720</xdr:colOff>
          <xdr:row>12</xdr:row>
          <xdr:rowOff>60960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Email Results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15240</xdr:colOff>
      <xdr:row>0</xdr:row>
      <xdr:rowOff>0</xdr:rowOff>
    </xdr:from>
    <xdr:to>
      <xdr:col>18</xdr:col>
      <xdr:colOff>54860</xdr:colOff>
      <xdr:row>31</xdr:row>
      <xdr:rowOff>83820</xdr:rowOff>
    </xdr:to>
    <xdr:pic>
      <xdr:nvPicPr>
        <xdr:cNvPr id="2" name="Picture 1">
          <a:extLst>
            <a:ext uri="{FF2B5EF4-FFF2-40B4-BE49-F238E27FC236}">
              <a16:creationId xmlns:a16="http://schemas.microsoft.com/office/drawing/2014/main" id="{B9EEDD18-9A3E-507D-2DBD-2806DC2235C9}"/>
            </a:ext>
          </a:extLst>
        </xdr:cNvPr>
        <xdr:cNvPicPr>
          <a:picLocks noChangeAspect="1"/>
        </xdr:cNvPicPr>
      </xdr:nvPicPr>
      <xdr:blipFill>
        <a:blip xmlns:r="http://schemas.openxmlformats.org/officeDocument/2006/relationships" r:embed="rId1"/>
        <a:stretch>
          <a:fillRect/>
        </a:stretch>
      </xdr:blipFill>
      <xdr:spPr>
        <a:xfrm>
          <a:off x="15240" y="0"/>
          <a:ext cx="11012420" cy="57531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Grace Clinard" id="{5A2650A8-4A9D-4480-9E24-99F7751AB16B}" userId="4b980652e05518d9"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B596E6-6CC7-4DCC-BC93-42FD476406C4}" name="Table1" displayName="Table1" ref="A1:P1048576" totalsRowShown="0" headerRowDxfId="9">
  <autoFilter ref="A1:P1048576" xr:uid="{34B596E6-6CC7-4DCC-BC93-42FD476406C4}"/>
  <tableColumns count="16">
    <tableColumn id="1" xr3:uid="{AB4B6D9E-4F0B-4FA0-BB5B-74F63F5134C4}" name="Scenario"/>
    <tableColumn id="2" xr3:uid="{D275B8DB-8324-442C-A81E-736C8B7094D5}" name="Count"/>
    <tableColumn id="3" xr3:uid="{2F18A2B8-9448-438C-BC03-ECB0CA86E832}" name="Expected Outcome"/>
    <tableColumn id="4" xr3:uid="{7CFFAE32-00E5-4020-A63C-0B569909EE4E}" name="Actual Outcome"/>
    <tableColumn id="5" xr3:uid="{29006736-421E-497D-B08D-62DF96924C59}" name="PASS/FAIL"/>
    <tableColumn id="6" xr3:uid="{C2A0C55C-D411-4D56-B0DB-453066A4DD65}" name="Testing Notes"/>
    <tableColumn id="7" xr3:uid="{4CF81D06-A116-48CF-BE8B-FC8AD1E015D5}" name="Configuration Notes"/>
    <tableColumn id="8" xr3:uid="{DC5C7B7A-D612-4460-BC72-ECD6705C5E72}" name="Claim ID"/>
    <tableColumn id="9" xr3:uid="{ADDF3CCC-B2C2-49C7-A43C-2C83D2A2516B}" name="Member ID"/>
    <tableColumn id="10" xr3:uid="{B95BE40C-2616-4429-9697-860F63C0A132}" name="Provider ID"/>
    <tableColumn id="11" xr3:uid="{8AC213FA-5FE1-4E98-9561-79D4E81129ED}" name="Billed Amount"/>
    <tableColumn id="12" xr3:uid="{165AC29B-B68F-48F3-9944-037B0A315DC0}" name="Allowed Amount"/>
    <tableColumn id="13" xr3:uid="{D6C87CD7-2F24-4881-8568-F863E2A62208}" name="Paid Amount"/>
    <tableColumn id="14" xr3:uid="{CF9A99EB-8D4C-4B76-B92B-E3D75D380A50}" name="Member Responsibility"/>
    <tableColumn id="15" xr3:uid="{DB6BF8AE-B30F-4012-AB31-A8C9140369B8}" name="Not Covered Amount"/>
    <tableColumn id="16" xr3:uid="{C6538A18-D624-4FA8-8C2F-7F691A69714A}" name="Net Amount"/>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 dT="2026-01-20T04:44:05.62" personId="{5A2650A8-4A9D-4480-9E24-99F7751AB16B}" id="{C8D891FF-48A3-4CF2-B2F8-ED6D5A2EB60E}">
    <text>Target Completion Date is automatically generated using the refined “Anticipated Effort” from the weekly team meetings. This is a visual measurement for the below field to see if our work is spending more time in this area than it was expected to.</text>
  </threadedComment>
  <threadedComment ref="D2" dT="2026-01-20T04:45:16.12" personId="{5A2650A8-4A9D-4480-9E24-99F7751AB16B}" id="{62C02A01-51B0-427C-877A-4E6AC135C8D1}">
    <text>The Actual Completion date is calculated using the End Date minus the Start Date. The field turns red in color when the Actual completion date exceeds the Target completion date.</text>
  </threadedComment>
  <threadedComment ref="A4" dT="2026-01-20T04:36:35.41" personId="{5A2650A8-4A9D-4480-9E24-99F7751AB16B}" id="{DF3B28C7-0FE5-41C2-9905-AD5E2254506A}">
    <text>Start Date and End Date are generated via VBA script when you double click the cell, it is able to be modified if necessary but serves as a timestamp measurement for reporting purposes.</text>
  </threadedComment>
  <threadedComment ref="D5" dT="2026-01-20T04:47:22.64" personId="{5A2650A8-4A9D-4480-9E24-99F7751AB16B}" id="{20ABEF26-2EA6-42EF-A3FE-C884F3F16BCF}">
    <text>Passed and Failed are both calculated by using the Testing Sheet Values in the PASS/FAIL column to calculate the percentage of how many tested claim lines were correct versus how many total (excluding “REVISIT” Lines)</text>
  </threadedComment>
  <threadedComment ref="A6" dT="2026-01-20T04:42:59.42" personId="{5A2650A8-4A9D-4480-9E24-99F7751AB16B}" id="{844B3296-4D22-44CD-B55C-66041C726E0B}">
    <text>This field will populate when both the Target Completion Date and the Start Date Fields are populated. This gives a date when we should be moving this ticket out of this lane.</text>
  </threadedComment>
  <threadedComment ref="A7" dT="2026-01-20T04:49:22.95" personId="{5A2650A8-4A9D-4480-9E24-99F7751AB16B}" id="{77AC777B-94EF-41AB-A2E0-6A3029D5A415}">
    <text>This is a general effort level measurement that most teams refine every week to own progress and meet deadlines.</text>
  </threadedComment>
  <threadedComment ref="D7" dT="2026-01-20T04:48:16.52" personId="{5A2650A8-4A9D-4480-9E24-99F7751AB16B}" id="{D907A6FD-BED9-4B93-B66C-EE2C224E1C02}">
    <text>Calculated by how many rows are in the PASS/FAIL column that are not empty (Includes REVISIT claims)</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6-01-20T04:53:57.99" personId="{5A2650A8-4A9D-4480-9E24-99F7751AB16B}" id="{F9962C26-A435-4377-97F3-260EABF5AA1D}">
    <text>PASS/FAIL Column is the basis of the conditional formatting set for the Green/Red/Yellow Lines. This is helpful when there are many different people on a team and it is difficult to pinpoint where there are errors since everyone has their own color coding. Standardized color formats accelerate supervisory assistance, reduce redundant formatting processes, and streamline quality testing. Data Validation options are standardized so that no extra values can break formatting.</text>
  </threadedComment>
  <threadedComment ref="F1" dT="2026-01-20T04:55:14.18" personId="{5A2650A8-4A9D-4480-9E24-99F7751AB16B}" id="{5FB63B60-B0C2-49C0-AB58-D3AB42538D23}">
    <text xml:space="preserve">Conditional formatting for Both Note Columns ensure that any notes taken are called out and focus goes towards the bright yellow lines.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17978-919D-4199-BA66-04C83B387213}">
  <sheetPr codeName="Sheet1">
    <tabColor rgb="FF92D050"/>
  </sheetPr>
  <dimension ref="A1:R16"/>
  <sheetViews>
    <sheetView tabSelected="1" workbookViewId="0">
      <selection activeCell="G7" sqref="G7"/>
    </sheetView>
  </sheetViews>
  <sheetFormatPr defaultRowHeight="14.4" x14ac:dyDescent="0.3"/>
  <cols>
    <col min="1" max="1" width="18.77734375" bestFit="1" customWidth="1"/>
    <col min="2" max="2" width="20.44140625" customWidth="1"/>
    <col min="4" max="4" width="18.88671875" bestFit="1" customWidth="1"/>
    <col min="7" max="7" width="15.88671875" customWidth="1"/>
  </cols>
  <sheetData>
    <row r="1" spans="1:18" x14ac:dyDescent="0.3">
      <c r="A1" s="6" t="s">
        <v>27</v>
      </c>
      <c r="B1" s="7" t="s">
        <v>38</v>
      </c>
      <c r="D1" s="6" t="s">
        <v>36</v>
      </c>
      <c r="E1" s="7" cm="1">
        <f t="array" ref="E1">_xlfn.IFS(B7=1, 1, B7=2, 2, B7=3, 4, B7=4, 7, B7=5, 10)</f>
        <v>2</v>
      </c>
    </row>
    <row r="2" spans="1:18" x14ac:dyDescent="0.3">
      <c r="A2" s="6" t="s">
        <v>28</v>
      </c>
      <c r="B2" s="7" t="s">
        <v>40</v>
      </c>
      <c r="D2" s="6" t="s">
        <v>37</v>
      </c>
      <c r="E2" s="7">
        <f>IF(OR(B4="",B5=""),"",NETWORKDAYS(B4,B5))</f>
        <v>1</v>
      </c>
    </row>
    <row r="3" spans="1:18" x14ac:dyDescent="0.3">
      <c r="A3" s="6" t="s">
        <v>29</v>
      </c>
      <c r="B3" s="7" t="s">
        <v>41</v>
      </c>
    </row>
    <row r="4" spans="1:18" x14ac:dyDescent="0.3">
      <c r="A4" s="6" t="s">
        <v>30</v>
      </c>
      <c r="B4" s="8">
        <v>46041.840462962966</v>
      </c>
    </row>
    <row r="5" spans="1:18" x14ac:dyDescent="0.3">
      <c r="A5" s="6" t="s">
        <v>31</v>
      </c>
      <c r="B5" s="8">
        <v>46041.857349537036</v>
      </c>
      <c r="D5" s="6" t="s">
        <v>33</v>
      </c>
      <c r="E5" s="9">
        <f>COUNTIF(Table1[PASS/FAIL],"PASS")/(COUNTIF(Table1[PASS/FAIL],"PASS")+COUNTIF(Table1[PASS/FAIL],"FAIL"))</f>
        <v>0.5</v>
      </c>
    </row>
    <row r="6" spans="1:18" x14ac:dyDescent="0.3">
      <c r="A6" s="6" t="s">
        <v>32</v>
      </c>
      <c r="B6" s="8">
        <f>B4+E1</f>
        <v>46043.840462962966</v>
      </c>
      <c r="D6" s="6" t="s">
        <v>34</v>
      </c>
      <c r="E6" s="10">
        <f>COUNTIF(Table1[PASS/FAIL],"FAIL")/(COUNTIF(Table1[PASS/FAIL],"PASS")+COUNTIF(Table1[PASS/FAIL],"FAIL"))</f>
        <v>0.5</v>
      </c>
    </row>
    <row r="7" spans="1:18" x14ac:dyDescent="0.3">
      <c r="A7" s="6" t="s">
        <v>39</v>
      </c>
      <c r="B7" s="7">
        <v>2</v>
      </c>
      <c r="D7" s="6" t="s">
        <v>35</v>
      </c>
      <c r="E7" s="7">
        <f>COUNTA(Table1[PASS/FAIL])</f>
        <v>3</v>
      </c>
    </row>
    <row r="14" spans="1:18" x14ac:dyDescent="0.3">
      <c r="A14" s="5" t="s">
        <v>42</v>
      </c>
      <c r="B14" s="5"/>
      <c r="C14" s="5"/>
      <c r="D14" s="5"/>
      <c r="E14" s="5"/>
      <c r="F14" s="5"/>
      <c r="G14" s="5"/>
      <c r="H14" s="5"/>
      <c r="I14" s="5"/>
      <c r="J14" s="5"/>
      <c r="K14" s="5"/>
      <c r="L14" s="5"/>
      <c r="M14" s="5"/>
      <c r="N14" s="5"/>
      <c r="O14" s="5"/>
      <c r="P14" s="5"/>
      <c r="Q14" s="5"/>
      <c r="R14" s="5"/>
    </row>
    <row r="15" spans="1:18" x14ac:dyDescent="0.3">
      <c r="C15" s="11"/>
      <c r="D15" s="11"/>
      <c r="E15" s="11"/>
    </row>
    <row r="16" spans="1:18" x14ac:dyDescent="0.3">
      <c r="C16" s="11"/>
      <c r="D16" s="11"/>
      <c r="E16" s="11"/>
    </row>
  </sheetData>
  <conditionalFormatting sqref="E2">
    <cfRule type="expression" dxfId="8" priority="4">
      <formula>$E$2&gt;$E$1</formula>
    </cfRule>
  </conditionalFormatting>
  <conditionalFormatting sqref="B1">
    <cfRule type="expression" dxfId="7" priority="1">
      <formula>$B$1="Low"</formula>
    </cfRule>
    <cfRule type="expression" dxfId="6" priority="2">
      <formula>$B$1="Medium"</formula>
    </cfRule>
    <cfRule type="expression" dxfId="5" priority="3">
      <formula>$B$1="High"</formula>
    </cfRule>
  </conditionalFormatting>
  <dataValidations count="2">
    <dataValidation type="list" allowBlank="1" showInputMessage="1" showErrorMessage="1" sqref="B1" xr:uid="{1E9712F8-7785-4009-AA82-8EF0F6944DBF}">
      <formula1>"High, Medium, Low"</formula1>
    </dataValidation>
    <dataValidation type="list" allowBlank="1" showInputMessage="1" showErrorMessage="1" sqref="B7" xr:uid="{29CF04F4-D0A7-4F11-84D3-749EDB35107B}">
      <formula1>"1,2,3,4,5"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0" r:id="rId4" name="Button 16">
              <controlPr defaultSize="0" print="0" autoFill="0" autoPict="0" macro="[0]!Email_QA_Report_To_Me">
                <anchor moveWithCells="1" sizeWithCells="1">
                  <from>
                    <xdr:col>1</xdr:col>
                    <xdr:colOff>548640</xdr:colOff>
                    <xdr:row>9</xdr:row>
                    <xdr:rowOff>91440</xdr:rowOff>
                  </from>
                  <to>
                    <xdr:col>3</xdr:col>
                    <xdr:colOff>426720</xdr:colOff>
                    <xdr:row>12</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6325E-82D2-475B-B22F-140BB06E3703}">
  <sheetPr codeName="Sheet2">
    <tabColor rgb="FF92D050"/>
  </sheetPr>
  <dimension ref="A1:P9"/>
  <sheetViews>
    <sheetView workbookViewId="0">
      <selection activeCell="E12" sqref="E12"/>
    </sheetView>
  </sheetViews>
  <sheetFormatPr defaultRowHeight="14.4" x14ac:dyDescent="0.3"/>
  <cols>
    <col min="1" max="1" width="28.33203125" bestFit="1" customWidth="1"/>
    <col min="2" max="2" width="13.44140625" bestFit="1" customWidth="1"/>
    <col min="3" max="3" width="22.88671875" customWidth="1"/>
    <col min="4" max="4" width="19.77734375" customWidth="1"/>
    <col min="5" max="5" width="13.88671875" customWidth="1"/>
    <col min="6" max="6" width="17.33203125" customWidth="1"/>
    <col min="7" max="7" width="24.21875" customWidth="1"/>
    <col min="8" max="8" width="12" customWidth="1"/>
    <col min="9" max="9" width="14.5546875" customWidth="1"/>
    <col min="10" max="10" width="14.6640625" customWidth="1"/>
    <col min="11" max="11" width="17.77734375" customWidth="1"/>
    <col min="12" max="12" width="20.21875" customWidth="1"/>
    <col min="13" max="13" width="16.33203125" customWidth="1"/>
    <col min="14" max="14" width="27.33203125" customWidth="1"/>
    <col min="15" max="15" width="24.88671875" customWidth="1"/>
    <col min="16" max="16" width="15.44140625" customWidth="1"/>
  </cols>
  <sheetData>
    <row r="1" spans="1:16" s="4" customFormat="1" ht="18" x14ac:dyDescent="0.35">
      <c r="A1" s="2" t="s">
        <v>0</v>
      </c>
      <c r="B1" s="2" t="s">
        <v>16</v>
      </c>
      <c r="C1" s="2" t="s">
        <v>1</v>
      </c>
      <c r="D1" s="2" t="s">
        <v>2</v>
      </c>
      <c r="E1" s="2" t="s">
        <v>3</v>
      </c>
      <c r="F1" s="2" t="s">
        <v>5</v>
      </c>
      <c r="G1" s="2" t="s">
        <v>4</v>
      </c>
      <c r="H1" s="1" t="s">
        <v>6</v>
      </c>
      <c r="I1" s="1" t="s">
        <v>7</v>
      </c>
      <c r="J1" s="1" t="s">
        <v>8</v>
      </c>
      <c r="K1" s="1" t="s">
        <v>13</v>
      </c>
      <c r="L1" s="1" t="s">
        <v>9</v>
      </c>
      <c r="M1" s="1" t="s">
        <v>10</v>
      </c>
      <c r="N1" s="1" t="s">
        <v>14</v>
      </c>
      <c r="O1" s="1" t="s">
        <v>12</v>
      </c>
      <c r="P1" s="1" t="s">
        <v>11</v>
      </c>
    </row>
    <row r="2" spans="1:16" x14ac:dyDescent="0.3">
      <c r="A2" t="s">
        <v>15</v>
      </c>
      <c r="B2">
        <v>1</v>
      </c>
      <c r="C2" t="s">
        <v>17</v>
      </c>
      <c r="D2" t="s">
        <v>17</v>
      </c>
      <c r="E2" t="s">
        <v>18</v>
      </c>
      <c r="H2">
        <v>12345678</v>
      </c>
      <c r="I2">
        <v>910111213</v>
      </c>
      <c r="J2">
        <v>1415161718</v>
      </c>
      <c r="K2" s="3">
        <v>500</v>
      </c>
      <c r="L2" s="3">
        <v>300</v>
      </c>
      <c r="M2" s="3">
        <v>240</v>
      </c>
      <c r="N2" s="3">
        <v>60</v>
      </c>
      <c r="O2" s="3">
        <v>200</v>
      </c>
      <c r="P2" s="3">
        <v>300</v>
      </c>
    </row>
    <row r="3" spans="1:16" x14ac:dyDescent="0.3">
      <c r="A3" t="s">
        <v>15</v>
      </c>
      <c r="B3">
        <v>2</v>
      </c>
      <c r="C3" t="s">
        <v>17</v>
      </c>
      <c r="D3" t="s">
        <v>22</v>
      </c>
      <c r="E3" t="s">
        <v>19</v>
      </c>
      <c r="F3" t="s">
        <v>24</v>
      </c>
      <c r="H3">
        <v>12345679</v>
      </c>
      <c r="I3">
        <v>910111213</v>
      </c>
      <c r="J3">
        <v>1415161718</v>
      </c>
      <c r="K3" s="3">
        <v>500</v>
      </c>
      <c r="L3" s="3">
        <v>320</v>
      </c>
      <c r="M3" s="3">
        <v>260</v>
      </c>
      <c r="N3" s="3">
        <v>60</v>
      </c>
      <c r="O3" s="3">
        <v>180</v>
      </c>
      <c r="P3" s="3">
        <v>320</v>
      </c>
    </row>
    <row r="4" spans="1:16" x14ac:dyDescent="0.3">
      <c r="A4" t="s">
        <v>15</v>
      </c>
      <c r="B4">
        <v>3</v>
      </c>
      <c r="C4" t="s">
        <v>23</v>
      </c>
      <c r="D4" t="s">
        <v>17</v>
      </c>
      <c r="E4" t="s">
        <v>20</v>
      </c>
      <c r="F4" t="s">
        <v>25</v>
      </c>
      <c r="G4" t="s">
        <v>26</v>
      </c>
      <c r="H4">
        <v>12345679</v>
      </c>
      <c r="I4">
        <v>910111213</v>
      </c>
      <c r="J4">
        <v>1415161718</v>
      </c>
      <c r="K4" s="3">
        <v>500</v>
      </c>
      <c r="L4" s="3">
        <v>300</v>
      </c>
      <c r="M4" s="3">
        <v>260</v>
      </c>
      <c r="N4" s="3">
        <v>40</v>
      </c>
      <c r="O4" s="3">
        <v>200</v>
      </c>
      <c r="P4" s="3">
        <v>300</v>
      </c>
    </row>
    <row r="9" spans="1:16" x14ac:dyDescent="0.3">
      <c r="J9" t="s">
        <v>21</v>
      </c>
    </row>
  </sheetData>
  <phoneticPr fontId="4" type="noConversion"/>
  <conditionalFormatting sqref="A2:P1000">
    <cfRule type="expression" dxfId="4" priority="3" stopIfTrue="1">
      <formula>$E2="FAIL"</formula>
    </cfRule>
    <cfRule type="expression" dxfId="3" priority="4" stopIfTrue="1">
      <formula>$E2="REVISIT"</formula>
    </cfRule>
    <cfRule type="expression" dxfId="2" priority="5">
      <formula>$E2="PASS"</formula>
    </cfRule>
  </conditionalFormatting>
  <conditionalFormatting sqref="F2:F1048576">
    <cfRule type="expression" dxfId="1" priority="2">
      <formula>LEN(F2)&gt;0</formula>
    </cfRule>
  </conditionalFormatting>
  <conditionalFormatting sqref="G2:G1048576">
    <cfRule type="expression" dxfId="0" priority="1">
      <formula>LEN(G2)&gt;0</formula>
    </cfRule>
  </conditionalFormatting>
  <dataValidations count="1">
    <dataValidation type="list" allowBlank="1" showInputMessage="1" showErrorMessage="1" sqref="E2:E1048576" xr:uid="{50F4672E-1A0F-43D1-82DE-289019663DF2}">
      <formula1>"PASS, FAIL, REVISIT"</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A0814-5199-40D1-BDAC-3D81284A65B8}">
  <sheetPr>
    <tabColor rgb="FFFFFF00"/>
  </sheetPr>
  <dimension ref="A1"/>
  <sheetViews>
    <sheetView topLeftCell="A6" workbookViewId="0"/>
  </sheetViews>
  <sheetFormatPr defaultRowHeight="14.4"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Report</vt:lpstr>
      <vt:lpstr>Testing Sheet</vt:lpstr>
      <vt:lpstr>Macro Example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Grace Clinard</dc:creator>
  <cp:lastModifiedBy>Grace Clinard</cp:lastModifiedBy>
  <dcterms:created xsi:type="dcterms:W3CDTF">2026-01-20T02:11:52Z</dcterms:created>
  <dcterms:modified xsi:type="dcterms:W3CDTF">2026-01-20T05:22:59Z</dcterms:modified>
</cp:coreProperties>
</file>